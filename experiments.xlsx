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selection activeCell="A1" sqref="A1"/>
    </sheetView>
  </sheetViews>
  <sheetFormatPr baseColWidth="8" defaultRowHeight="15"/>
  <cols>
    <col width="80" customWidth="1" min="2" max="2"/>
    <col width="30" customWidth="1" min="5" max="5"/>
    <col width="30" customWidth="1" min="6" max="6"/>
    <col width="30" customWidth="1" min="7" max="7"/>
    <col width="80" customWidth="1" min="8" max="8"/>
  </cols>
  <sheetData>
    <row r="1">
      <c r="A1" t="inlineStr">
        <is>
          <t>wandb_id</t>
        </is>
      </c>
      <c r="B1" t="inlineStr">
        <is>
          <t>config</t>
        </is>
      </c>
      <c r="C1" t="inlineStr">
        <is>
          <t>H_cycles</t>
        </is>
      </c>
      <c r="D1" t="inlineStr">
        <is>
          <t>L_cycles</t>
        </is>
      </c>
      <c r="E1" t="inlineStr">
        <is>
          <t>max_halt_steps</t>
        </is>
      </c>
      <c r="F1" t="inlineStr">
        <is>
          <t>best exact_acc @ halt_or_nsup 64</t>
        </is>
      </c>
      <c r="G1" t="inlineStr">
        <is>
          <t>best exact_acc @ halt_or_nsup 32</t>
        </is>
      </c>
      <c r="H1" t="inlineStr">
        <is>
          <t>best exact_acc @ halt_or_nsup 16</t>
        </is>
      </c>
      <c r="I1" t="inlineStr">
        <is>
          <t>train/exact_accuracy (last 1000 avg)</t>
        </is>
      </c>
      <c r="J1" t="inlineStr">
        <is>
          <t>exact_acc @ halt_or_nsup 16</t>
        </is>
      </c>
      <c r="K1" t="inlineStr">
        <is>
          <t>exact_acc @ halt_or_nsup 32</t>
        </is>
      </c>
      <c r="L1" t="inlineStr">
        <is>
          <t>exact_acc @ halt_or_nsup 64</t>
        </is>
      </c>
      <c r="M1" t="inlineStr">
        <is>
          <t>train_exact_accuracy</t>
        </is>
      </c>
    </row>
    <row r="2" ht="100" customHeight="1">
      <c r="A2" t="inlineStr">
        <is>
          <t>cr_0413_baseline_220918</t>
        </is>
      </c>
      <c r="B2" s="2" t="inlineStr">
        <is>
          <t xml:space="preserve"># Baseline, no CR on depth, no CR on data
#
# Usage: bash pretrain_cr.sh cr_0413_baseline.yaml
name: cr_0413_baseline
depth:
  H_cycles: 1
  L_cycles: 2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2" t="inlineStr">
        <is>
          <t>1</t>
        </is>
      </c>
      <c r="D2" t="inlineStr">
        <is>
          <t>2</t>
        </is>
      </c>
      <c r="E2" t="inlineStr">
        <is>
          <t>16</t>
        </is>
      </c>
      <c r="F2" t="inlineStr">
        <is>
          <t>0.714752</t>
        </is>
      </c>
      <c r="G2" t="inlineStr">
        <is>
          <t>0.669081</t>
        </is>
      </c>
      <c r="H2" t="inlineStr">
        <is>
          <t>0.597177</t>
        </is>
      </c>
      <c r="I2" t="inlineStr">
        <is>
          <t>0.814373</t>
        </is>
      </c>
      <c r="J2">
        <f>IMAGE("https://raw.githubusercontent.com/yoyostudy/trm-cr-experiment-photos/cr_0413_baseline_220918_stage2/training_dynamics/exact_acc_at_halt_or_nsup16.png")</f>
        <v/>
      </c>
      <c r="K2">
        <f>IMAGE("https://raw.githubusercontent.com/yoyostudy/trm-cr-experiment-photos/cr_0413_baseline_220918_stage2/training_dynamics/exact_acc_at_halt_or_nsup32.png")</f>
        <v/>
      </c>
      <c r="L2">
        <f>IMAGE("https://raw.githubusercontent.com/yoyostudy/trm-cr-experiment-photos/cr_0413_baseline_220918_stage2/training_dynamics/exact_acc_at_halt_or_nsup64.png")</f>
        <v/>
      </c>
      <c r="M2">
        <f>IMAGE("https://raw.githubusercontent.com/yoyostudy/trm-cr-experiment-photos/cr_0413_baseline_220918_stage2/training_dynamics/train_exact_accuracy.png")</f>
        <v/>
      </c>
    </row>
    <row r="3" ht="100" customHeight="1">
      <c r="A3" t="inlineStr">
        <is>
          <t>exp_0419_cr_baseline_004937</t>
        </is>
      </c>
      <c r="B3" s="2" t="inlineStr">
        <is>
          <t xml:space="preserve"># Baseline, no CR on depth, no CR on data
#
# Usage: bash pretrain_cr.sh exp_0419_cr_baseline.yaml
name: exp_0419_cr_baseline
depth:
  H_cycles: 2
  L_cycles: 4
  L_layers: 2
stages:
  - data_path: data/sudoku-extreme-1k-aug-1000
    nsup: 16
    num_epochs: 10000
    batch_size: 768
    eval_interval: 1000
  - data_path: data/sudoku-extreme-1k-aug-1000
    nsup: 16
    num_epochs: 10000
    batch_size: 768
    eval_interval: 1000
  - data_path: data/sudoku-extreme-1k-aug-1000
    nsup: 16
    num_epochs: 30000
    batch_size: 768
    eval_interval: 1000
</t>
        </is>
      </c>
      <c r="C3" t="inlineStr">
        <is>
          <t>2</t>
        </is>
      </c>
      <c r="D3" t="inlineStr">
        <is>
          <t>4</t>
        </is>
      </c>
      <c r="E3" t="inlineStr">
        <is>
          <t>16</t>
        </is>
      </c>
      <c r="H3" t="inlineStr">
        <is>
          <t>0.529864</t>
        </is>
      </c>
      <c r="I3" t="inlineStr">
        <is>
          <t>0.573716</t>
        </is>
      </c>
      <c r="J3">
        <f>IMAGE("https://raw.githubusercontent.com/yoyostudy/trm-cr-experiment-photos/exp_0419_cr_baseline_004937_stage2/training_dynamics/exact_acc_at_halt_or_nsup16.png")</f>
        <v/>
      </c>
      <c r="K3">
        <f>IMAGE("https://raw.githubusercontent.com/yoyostudy/trm-cr-experiment-photos/exp_0419_cr_baseline_004937_stage2/training_dynamics/exact_acc_at_halt_or_nsup32.png")</f>
        <v/>
      </c>
      <c r="L3">
        <f>IMAGE("https://raw.githubusercontent.com/yoyostudy/trm-cr-experiment-photos/exp_0419_cr_baseline_004937_stage2/training_dynamics/exact_acc_at_halt_or_nsup64.png")</f>
        <v/>
      </c>
      <c r="M3">
        <f>IMAGE("https://raw.githubusercontent.com/yoyostudy/trm-cr-experiment-photos/exp_0419_cr_baseline_004937_stage2/training_dynamics/train_exact_accuracy.png")</f>
        <v/>
      </c>
    </row>
    <row r="4" ht="100" customHeight="1">
      <c r="A4" t="inlineStr">
        <is>
          <t>exp_0413_cr_trace_mix_gaussian_210715</t>
        </is>
      </c>
      <c r="B4" s="2" t="inlineStr">
        <is>
          <t xml:space="preserve"># Curriculum learning config (gaussian variant).
#
# Same hard-gold-path mix as cp_0413_cr_trace_mix,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  python -m dataset.build_curriculum_dataset \
#     --source-dir data/sudoku-extreme-1k-aug-1000 \
#     --output-dir data/sudoku-extreme-1k-aug-1000-stage1-hard-gp-gaussian \
#  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Stage 1. hard -&gt; intermediate @ N(20, 5) empty cells; easy/medium unchanged
# Stage 2. hard -&gt; intermediate @ N(40, 5) empty cells; easy/medium unchanged
# Stage 3. original dataset (no replacement)
#
# Usage: bash pretrain_cr.sh exp_0413_cr_trace_mix_gaussian.yaml
name: exp_0413_cr_trace_mix_gaussian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
    nsup: 16
    num_epochs: 30000
    batch_size: 768
    eval_interval: 1000
</t>
        </is>
      </c>
      <c r="C4" t="inlineStr">
        <is>
          <t>1</t>
        </is>
      </c>
      <c r="D4" t="inlineStr">
        <is>
          <t>2</t>
        </is>
      </c>
      <c r="E4" t="inlineStr">
        <is>
          <t>16</t>
        </is>
      </c>
      <c r="H4" t="inlineStr">
        <is>
          <t>0.569215</t>
        </is>
      </c>
      <c r="I4" t="inlineStr">
        <is>
          <t>0.536861</t>
        </is>
      </c>
      <c r="J4">
        <f>IMAGE("https://raw.githubusercontent.com/yoyostudy/trm-cr-experiment-photos/exp_0413_cr_trace_mix_gaussian_210715_stage2/training_dynamics/exact_acc_at_halt_or_nsup16.png")</f>
        <v/>
      </c>
      <c r="K4">
        <f>IMAGE("https://raw.githubusercontent.com/yoyostudy/trm-cr-experiment-photos/exp_0413_cr_trace_mix_gaussian_210715_stage2/training_dynamics/exact_acc_at_halt_or_nsup32.png")</f>
        <v/>
      </c>
      <c r="L4">
        <f>IMAGE("https://raw.githubusercontent.com/yoyostudy/trm-cr-experiment-photos/exp_0413_cr_trace_mix_gaussian_210715_stage2/training_dynamics/exact_acc_at_halt_or_nsup64.png")</f>
        <v/>
      </c>
      <c r="M4">
        <f>IMAGE("https://raw.githubusercontent.com/yoyostudy/trm-cr-experiment-photos/exp_0413_cr_trace_mix_gaussian_210715_stage2/training_dynamics/train_exact_accuracy.png")</f>
        <v/>
      </c>
    </row>
    <row r="5" ht="100" customHeight="1">
      <c r="A5" t="inlineStr">
        <is>
          <t>exp_0420_cr_trace_mix_gaussian_dense_141633</t>
        </is>
      </c>
      <c r="B5" s="2" t="inlineStr">
        <is>
          <t xml:space="preserve"># Curriculum learning config (gaussian, dense variant).
#
# 20-stage progression with per-sample empty-cell count drawn from a Gaussian
# N(mean, 5). Stages match build_data.sh — means ramp from 31 to 70 over 20
# stages (2500 epochs each) for a dense, near-continuous curriculum. Build
# the curriculum datasets once before training by running:
#
#   bash build_data.sh
#
# Usage: bash pretrain_cr.sh exp_0420_cr_trace_mix_gaussian_dense.yaml
name: exp_0420_cr_trace_mix_gaussian_dense
depth:
  H_cycles: 1
  L_cycles: 2
  L_layers: 2
stages:
  - data_path: data/sudoku-extreme-1k-aug-1000-hard-gp-gaussian-empty_cell-31-5
    nsup: 16
    num_epochs: 2500
    batch_size: 768
    eval_interval: 500
  - data_path: data/sudoku-extreme-1k-aug-1000-hard-gp-gaussian-empty_cell-35-5
    nsup: 16
    num_epochs: 2500
    batch_size: 768
    eval_interval: 500
  - data_path: data/sudoku-extreme-1k-aug-1000-hard-gp-gaussian-empty_cell-39-5
    nsup: 16
    num_epochs: 2500
    batch_size: 768
    eval_interval: 500
  - data_path: data/sudoku-extreme-1k-aug-1000-hard-gp-gaussian-empty_cell-42-5
    nsup: 16
    num_epochs: 2500
    batch_size: 768
    eval_interval: 500
  - data_path: data/sudoku-extreme-1k-aug-1000-hard-gp-gaussian-empty_cell-45-5
    nsup: 16
    num_epochs: 2500
    batch_size: 768
    eval_interval: 500
  - data_path: data/sudoku-extreme-1k-aug-1000-hard-gp-gaussian-empty_cell-47-5
    nsup: 16
    num_epochs: 2500
    batch_size: 768
    eval_interval: 500
  - data_path: data/sudoku-extreme-1k-aug-1000-hard-gp-gaussian-empty_cell-49-5
    nsup: 16
    num_epochs: 2500
    batch_size: 768
    eval_interval: 500
  - data_path: data/sudoku-extreme-1k-aug-1000-hard-gp-gaussian-empty_cell-51-5
    nsup: 16
    num_epochs: 2500
    batch_size: 768
    eval_interval: 500
  - data_path: data/sudoku-extreme-1k-aug-1000-hard-gp-gaussian-empty_cell-53-5
    nsup: 16
    num_epochs: 2500
    batch_size: 768
    eval_interval: 500
  - data_path: data/sudoku-extreme-1k-aug-1000-hard-gp-gaussian-empty_cell-55-5
    nsup: 16
    num_epochs: 2500
    batch_size: 768
    eval_interval: 500
  - data_path: data/sudoku-extreme-1k-aug-1000-hard-gp-gaussian-empty_cell-57-5
    nsup: 16
    num_epochs: 2500
    batch_size: 768
    eval_interval: 500
  - data_path: data/sudoku-extreme-1k-aug-1000-hard-gp-gaussian-empty_cell-58-5
    nsup: 16
    num_epochs: 2500
    batch_size: 768
    eval_interval: 500
  - data_path: data/sudoku-extreme-1k-aug-1000-hard-gp-gaussian-empty_cell-60-5
    nsup: 16
    num_epochs: 2500
    batch_size: 768
    eval_interval: 500
  - data_path: data/sudoku-extreme-1k-aug-1000-hard-gp-gaussian-empty_cell-61-5
    nsup: 16
    num_epochs: 2500
    batch_size: 768
    eval_interval: 500
  - data_path: data/sudoku-extreme-1k-aug-1000-hard-gp-gaussian-empty_cell-63-5
    nsup: 16
    num_epochs: 2500
    batch_size: 768
    eval_interval: 500
  - data_path: data/sudoku-extreme-1k-aug-1000-hard-gp-gaussian-empty_cell-64-5
    nsup: 16
    num_epochs: 2500
    batch_size: 768
    eval_interval: 500
  - data_path: data/sudoku-extreme-1k-aug-1000-hard-gp-gaussian-empty_cell-66-5
    nsup: 16
    num_epochs: 2500
    batch_size: 768
    eval_interval: 500
  - data_path: data/sudoku-extreme-1k-aug-1000-hard-gp-gaussian-empty_cell-67-5
    nsup: 16
    num_epochs: 2500
    batch_size: 768
    eval_interval: 500
  - data_path: data/sudoku-extreme-1k-aug-1000-hard-gp-gaussian-empty_cell-68-5
    nsup: 16
    num_epochs: 2500
    batch_size: 768
    eval_interval: 500
  - data_path: data/sudoku-extreme-1k-aug-1000-hard-gp-gaussian-empty_cell-70-5
    nsup: 16
    num_epochs: 2500
    batch_size: 768
    eval_interval: 500
  - data_path: data/sudoku-extreme-1k-aug-1000
    nsup: 16
    num_epochs: 10000
    batch_size: 768
    eval_interval: 500
</t>
        </is>
      </c>
      <c r="C5" t="inlineStr">
        <is>
          <t>1</t>
        </is>
      </c>
      <c r="D5" t="inlineStr">
        <is>
          <t>2</t>
        </is>
      </c>
      <c r="E5" t="inlineStr">
        <is>
          <t>16</t>
        </is>
      </c>
      <c r="H5" t="inlineStr">
        <is>
          <t>0.531810</t>
        </is>
      </c>
      <c r="I5" t="inlineStr">
        <is>
          <t>0.511622</t>
        </is>
      </c>
      <c r="J5">
        <f>IMAGE("https://raw.githubusercontent.com/yoyostudy/trm-cr-experiment-photos/exp_0420_cr_trace_mix_gaussian_dense_141633_stage20/training_dynamics/exact_acc_at_halt_or_nsup16.png")</f>
        <v/>
      </c>
      <c r="K5">
        <f>IMAGE("https://raw.githubusercontent.com/yoyostudy/trm-cr-experiment-photos/exp_0420_cr_trace_mix_gaussian_dense_141633_stage20/training_dynamics/exact_acc_at_halt_or_nsup32.png")</f>
        <v/>
      </c>
      <c r="L5">
        <f>IMAGE("https://raw.githubusercontent.com/yoyostudy/trm-cr-experiment-photos/exp_0420_cr_trace_mix_gaussian_dense_141633_stage20/training_dynamics/exact_acc_at_halt_or_nsup64.png")</f>
        <v/>
      </c>
      <c r="M5">
        <f>IMAGE("https://raw.githubusercontent.com/yoyostudy/trm-cr-experiment-photos/exp_0420_cr_trace_mix_gaussian_dense_141633_stage20/training_dynamics/train_exact_accuracy.png")</f>
        <v/>
      </c>
    </row>
    <row r="6" ht="100" customHeight="1">
      <c r="A6" t="inlineStr">
        <is>
          <t>exp_0421_cr_trace_mix_gaussian_192914</t>
        </is>
      </c>
      <c r="B6" s="2" t="inlineStr">
        <is>
          <t xml:space="preserve"># Curriculum learning config (gaussian variant).
#
# Same hard-gold-path mix as cp_0420_cr_trace_mix, but the intermediate
# board's empty-cell count is drawn per-sample from a Gaussian instead of
# being a fixed constant. This smooths the per-stage empty-cell distribution
# so the transition into the natural stage-3 distribution (~54-58 empties)
# is less abrupt.
#
# Build the curriculum datasets once before training:
#
# python -m dataset.build_curriculum_dataset \
#   --source-dir data/sudoku-extreme-1k-aug-1000 \
#   --output-dir data/sudoku-extreme-1k-aug-1000-stage1-hard-gp-gaussian \
#   --empty-cells-mean 20 --empty-cells-std 5 --hard-only
#
#   python -m dataset.build_curriculum_dataset \
#     --source-dir data/sudoku-extreme-1k-aug-1000 \
#     --output-dir data/sudoku-extreme-1k-aug-1000-stage2-hard-gp-gaussian \
#     --empty-cells-mean 40 --empty-cells-std 5 --hard-only
#
# python -m dataset.build_curriculum_dataset \
#   --source-dir data/sudoku-extreme-1k-aug-1000 \
#   --output-dir data/sudoku-extreme-1k-aug-1000-stage3-hard-gp-gaussian \
#   --empty-cells-mean 45 --empty-cells-std 5 --hard-only
#
# python -m dataset.build_curriculum_dataset \
#   --source-dir data/sudoku-extreme-1k-aug-1000 \
#   --output-dir data/sudoku-extreme-1k-aug-1000-stage4-hard-gp-gaussian \
#   --empty-cells-mean 50 --empty-cells-std 5 --hard-only
#
# Stage 1. hard -&gt; intermediate @ N(20, 5) empty cells; easy/medium unchanged
# Stage 2. hard -&gt; intermediate @ N(40, 5) empty cells; easy/medium unchanged
# Stage 3. hard -&gt; intermediate @ N(45, 5) empty cells; easy/medium unchanged
# Stage 4. hard -&gt; intermediate @ N(50, 5) empty cells; easy/medium unchanged
# Stage 5. original dataset (no replacement)
#
# Usage: bash pretrain_cr.sh exp_0421_cr_trace_mix_gaussian.yaml
name: exp_0421_cr_trace_mix_gaussian
depth:
  H_cycles: 1
  L_cycles: 2
  L_layers: 2
stages:
  - data_path: data/sudoku-extreme-1k-aug-1000-stage1-hard-gp-gaussian
    nsup: 16
    num_epochs: 10000
    batch_size: 768
    eval_interval: 1000
  - data_path: data/sudoku-extreme-1k-aug-1000-stage2-hard-gp-gaussian
    nsup: 16
    num_epochs: 10000
    batch_size: 768
    eval_interval: 1000
  - data_path: data/sudoku-extreme-1k-aug-1000-stage3-hard-gp-gaussian
    nsup: 16
    num_epochs: 10000
    batch_size: 768
    eval_interval: 1000
  - data_path: data/sudoku-extreme-1k-aug-1000-stage4-hard-gp-gaussian
    nsup: 16
    num_epochs: 10000
    batch_size: 768
    eval_interval: 1000
  - data_path: data/sudoku-extreme-1k-aug-1000
    nsup: 16
    num_epochs: 10000
    batch_size: 768
    eval_interval: 1000
</t>
        </is>
      </c>
      <c r="C6" t="inlineStr">
        <is>
          <t>1</t>
        </is>
      </c>
      <c r="D6" t="inlineStr">
        <is>
          <t>2</t>
        </is>
      </c>
      <c r="E6" t="inlineStr">
        <is>
          <t>16</t>
        </is>
      </c>
      <c r="F6" t="inlineStr">
        <is>
          <t>0.622826</t>
        </is>
      </c>
      <c r="G6" t="inlineStr">
        <is>
          <t>0.589939</t>
        </is>
      </c>
      <c r="H6" t="inlineStr">
        <is>
          <t>0.532612</t>
        </is>
      </c>
      <c r="I6" t="inlineStr">
        <is>
          <t>0.468834</t>
        </is>
      </c>
      <c r="J6">
        <f>IMAGE("https://raw.githubusercontent.com/yoyostudy/trm-cr-experiment-photos/exp_0421_cr_trace_mix_gaussian_192914_stage4/training_dynamics/exact_acc_at_halt_or_nsup16.png")</f>
        <v/>
      </c>
      <c r="K6">
        <f>IMAGE("https://raw.githubusercontent.com/yoyostudy/trm-cr-experiment-photos/exp_0421_cr_trace_mix_gaussian_192914_stage4/training_dynamics/exact_acc_at_halt_or_nsup32.png")</f>
        <v/>
      </c>
      <c r="L6">
        <f>IMAGE("https://raw.githubusercontent.com/yoyostudy/trm-cr-experiment-photos/exp_0421_cr_trace_mix_gaussian_192914_stage4/training_dynamics/exact_acc_at_halt_or_nsup64.png")</f>
        <v/>
      </c>
      <c r="M6">
        <f>IMAGE("https://raw.githubusercontent.com/yoyostudy/trm-cr-experiment-photos/exp_0421_cr_trace_mix_gaussian_192914_stage4/training_dynamics/train_exact_accuracy.png")</f>
        <v/>
      </c>
    </row>
    <row r="7" ht="100" customHeight="1">
      <c r="A7" t="inlineStr">
        <is>
          <t>exp_0414_bt_004417</t>
        </is>
      </c>
      <c r="B7" s="2" t="inlineStr">
        <is>
          <t xml:space="preserve"># Curriculum learning config (BT)
#
# Stage 1. hard -&gt; wrong son of branch guessing node g1; easy/medium unchanged
# Stage 2. hard -&gt; wrong son of branch guessing node g2; easy/medium unchanged
# Stage 3. original dataset (no replacement)
# g1 = last branching guess on gold path (fewer empty cells, deeper)
# g2 = second-to-last branching guess on gold path (more empty cells, shallower)
# empty_cell (g1) &lt; empty_cell (g2)
# empty_cell (wc_1) = empty_cell (g1) - 1
# empty_cell (wc_2) = empty_cell (g2) - 1
#
# Usage: bash pretrain_cr.sh exp_0414_bt.yaml
name: exp_0414_bt
depth:
  H_cycles: 1
  L_cycles: 2
  L_layers: 2
stages:
  - data_path: data/sudoku-extreme-1k-aug-1000-bt-stage1-hard
    nsup: 16
    num_epochs: 10000
    batch_size: 768
    eval_interval: 1000
  - data_path: data/sudoku-extreme-1k-aug-1000-bt-stage2-hard
    nsup: 16
    num_epochs: 10000
    batch_size: 768
    eval_interval: 1000
  - data_path: data/sudoku-extreme-1k-aug-1000
    nsup: 16
    num_epochs: 30000
    batch_size: 768
    eval_interval: 1000
</t>
        </is>
      </c>
      <c r="C7" t="inlineStr">
        <is>
          <t>1</t>
        </is>
      </c>
      <c r="D7" t="inlineStr">
        <is>
          <t>2</t>
        </is>
      </c>
      <c r="E7" t="inlineStr">
        <is>
          <t>16</t>
        </is>
      </c>
      <c r="H7" t="inlineStr">
        <is>
          <t>0.582195</t>
        </is>
      </c>
      <c r="I7" t="inlineStr">
        <is>
          <t>0.575606</t>
        </is>
      </c>
      <c r="J7">
        <f>IMAGE("https://raw.githubusercontent.com/yoyostudy/trm-cr-experiment-photos/exp_0414_bt_004417_stage2/training_dynamics/exact_acc_at_halt_or_nsup16.png")</f>
        <v/>
      </c>
      <c r="K7">
        <f>IMAGE("https://raw.githubusercontent.com/yoyostudy/trm-cr-experiment-photos/exp_0414_bt_004417_stage2/training_dynamics/exact_acc_at_halt_or_nsup32.png")</f>
        <v/>
      </c>
      <c r="L7">
        <f>IMAGE("https://raw.githubusercontent.com/yoyostudy/trm-cr-experiment-photos/exp_0414_bt_004417_stage2/training_dynamics/exact_acc_at_halt_or_nsup64.png")</f>
        <v/>
      </c>
      <c r="M7">
        <f>IMAGE("https://raw.githubusercontent.com/yoyostudy/trm-cr-experiment-photos/exp_0414_bt_004417_stage2/training_dynamics/train_exact_accuracy.png")</f>
        <v/>
      </c>
    </row>
    <row r="8" ht="100" customHeight="1">
      <c r="A8" t="inlineStr">
        <is>
          <t>exp_0414_bt_descendents_015622</t>
        </is>
      </c>
      <c r="B8" s="2" t="inlineStr">
        <is>
          <t xml:space="preserve"># Curriculum learning config (BT by wrong-subtree depth, hard-only replacement)
#
# Stage 1. hard -&gt; wrong child  of g1 (last branching guess on gold path)
#                  bt-depth=1   (one wrong step)
#          easy/medium unchanged
# Stage 2. hard -&gt; wrong grandchild of g2 (second-last branching guess)
#                  bt-depth=2   (wrong step + one more walk step)
#          easy/medium unchanged
# Stage 3. original dataset (no replacement)
#
# g1 = last branching guess (deeper, fewer empty cells)
# g2 = second-to-last branching guess (shallower, more empty cells)
# Extra walk steps inside the wrong subtree reuse find_one_propagation and
# MRV guess-cell selection (see utils/sudoku_with_wrong_child.py ::
# get_wrong_descendants).
#
# Usage: bash pretrain_cr.sh exp_0414_bt_descendents.yaml
name: exp_0414_bt_descendents
depth:
  H_cycles: 1
  L_cycles: 2
  L_layers: 2
stages:
  - data_path: data/sudoku-extreme-1k-aug-1000-bt-s1-d1-hard
    nsup: 16
    num_epochs: 10000
    batch_size: 768
    eval_interval: 1000
  - data_path: data/sudoku-extreme-1k-aug-1000-bt-s2-d2-hard
    nsup: 16
    num_epochs: 10000
    batch_size: 768
    eval_interval: 1000
  - data_path: data/sudoku-extreme-1k-aug-1000
    nsup: 16
    num_epochs: 30000
    batch_size: 768
    eval_interval: 1000
</t>
        </is>
      </c>
      <c r="C8" t="inlineStr">
        <is>
          <t>1</t>
        </is>
      </c>
      <c r="D8" t="inlineStr">
        <is>
          <t>2</t>
        </is>
      </c>
      <c r="E8" t="inlineStr">
        <is>
          <t>16</t>
        </is>
      </c>
      <c r="H8" t="inlineStr">
        <is>
          <t>0.607816</t>
        </is>
      </c>
      <c r="I8" t="inlineStr">
        <is>
          <t>0.734369</t>
        </is>
      </c>
      <c r="J8">
        <f>IMAGE("https://raw.githubusercontent.com/yoyostudy/trm-cr-experiment-photos/exp_0414_bt_descendents_015622_stage2/training_dynamics/exact_acc_at_halt_or_nsup16.png")</f>
        <v/>
      </c>
      <c r="K8">
        <f>IMAGE("https://raw.githubusercontent.com/yoyostudy/trm-cr-experiment-photos/exp_0414_bt_descendents_015622_stage2/training_dynamics/exact_acc_at_halt_or_nsup32.png")</f>
        <v/>
      </c>
      <c r="L8">
        <f>IMAGE("https://raw.githubusercontent.com/yoyostudy/trm-cr-experiment-photos/exp_0414_bt_descendents_015622_stage2/training_dynamics/exact_acc_at_halt_or_nsup64.png")</f>
        <v/>
      </c>
      <c r="M8">
        <f>IMAGE("https://raw.githubusercontent.com/yoyostudy/trm-cr-experiment-photos/exp_0414_bt_descendents_015622_stage2/training_dynamics/train_exact_accuracy.png")</f>
        <v/>
      </c>
    </row>
    <row r="9" ht="100" customHeight="1">
      <c r="A9" t="inlineStr">
        <is>
          <t>cr_0429_derive_ignore_194437</t>
        </is>
      </c>
      <c r="B9" s="2" t="inlineStr">
        <is>
          <t>1</t>
        </is>
      </c>
      <c r="C9" t="inlineStr">
        <is>
          <t>1</t>
        </is>
      </c>
      <c r="D9" t="inlineStr">
        <is>
          <t>2</t>
        </is>
      </c>
      <c r="E9" t="inlineStr">
        <is>
          <t>16</t>
        </is>
      </c>
      <c r="F9" t="inlineStr">
        <is>
          <t>0.704030</t>
        </is>
      </c>
      <c r="G9" t="inlineStr">
        <is>
          <t>0.668026</t>
        </is>
      </c>
      <c r="H9" t="inlineStr">
        <is>
          <t>0.608554</t>
        </is>
      </c>
      <c r="I9" t="inlineStr">
        <is>
          <t>0.868711</t>
        </is>
      </c>
      <c r="J9">
        <f>IMAGE("https://raw.githubusercontent.com/yoyostudy/trm-cr-experiment-photos/cr_0429_derive_ignore_194437_stage0/training_dynamics/exact_acc_at_halt_or_nsup16.png")</f>
        <v/>
      </c>
      <c r="K9">
        <f>IMAGE("https://raw.githubusercontent.com/yoyostudy/trm-cr-experiment-photos/cr_0429_derive_ignore_194437_stage0/training_dynamics/exact_acc_at_halt_or_nsup32.png")</f>
        <v/>
      </c>
      <c r="L9">
        <f>IMAGE("https://raw.githubusercontent.com/yoyostudy/trm-cr-experiment-photos/cr_0429_derive_ignore_194437_stage0/training_dynamics/exact_acc_at_halt_or_nsup64.png")</f>
        <v/>
      </c>
      <c r="M9">
        <f>IMAGE("https://raw.githubusercontent.com/yoyostudy/trm-cr-experiment-photos/cr_0429_derive_ignore_194437_stage0/training_dynamics/train_exact_accuracy.png")</f>
        <v/>
      </c>
    </row>
    <row r="10" ht="100" customHeight="1">
      <c r="A10" t="inlineStr">
        <is>
          <t>cr_0429_derive_ignore_v2_154835</t>
        </is>
      </c>
      <c r="C10" t="inlineStr">
        <is>
          <t>1</t>
        </is>
      </c>
      <c r="D10" t="inlineStr">
        <is>
          <t>2</t>
        </is>
      </c>
      <c r="E10" t="inlineStr">
        <is>
          <t>16</t>
        </is>
      </c>
      <c r="F10" t="inlineStr">
        <is>
          <t>0.715665</t>
        </is>
      </c>
      <c r="G10" t="inlineStr">
        <is>
          <t>0.678776</t>
        </is>
      </c>
      <c r="H10" t="inlineStr">
        <is>
          <t>0.616707</t>
        </is>
      </c>
      <c r="I10" t="inlineStr">
        <is>
          <t>0.885604</t>
        </is>
      </c>
      <c r="J10">
        <f>IMAGE("https://raw.githubusercontent.com/yoyostudy/trm-cr-experiment-photos/cr_0429_derive_ignore_v2_154835_stage0/training_dynamics/exact_acc_at_halt_or_nsup16.png")</f>
        <v/>
      </c>
      <c r="K10">
        <f>IMAGE("https://raw.githubusercontent.com/yoyostudy/trm-cr-experiment-photos/cr_0429_derive_ignore_v2_154835_stage0/training_dynamics/exact_acc_at_halt_or_nsup32.png")</f>
        <v/>
      </c>
      <c r="L10">
        <f>IMAGE("https://raw.githubusercontent.com/yoyostudy/trm-cr-experiment-photos/cr_0429_derive_ignore_v2_154835_stage0/training_dynamics/exact_acc_at_halt_or_nsup64.png")</f>
        <v/>
      </c>
      <c r="M10">
        <f>IMAGE("https://raw.githubusercontent.com/yoyostudy/trm-cr-experiment-photos/cr_0429_derive_ignore_v2_154835_stage0/training_dynamics/train_exact_accuracy.png")</f>
        <v/>
      </c>
    </row>
    <row r="11" ht="100" customHeight="1">
      <c r="A11" t="inlineStr">
        <is>
          <t>cr_0429_derive_ignore_m3_194001</t>
        </is>
      </c>
      <c r="C11" t="inlineStr">
        <is>
          <t>1</t>
        </is>
      </c>
      <c r="D11" t="inlineStr">
        <is>
          <t>2</t>
        </is>
      </c>
      <c r="E11" t="inlineStr">
        <is>
          <t>16</t>
        </is>
      </c>
      <c r="F11" t="inlineStr">
        <is>
          <t>0.664019</t>
        </is>
      </c>
      <c r="G11" t="inlineStr">
        <is>
          <t>0.631632</t>
        </is>
      </c>
      <c r="H11" t="inlineStr">
        <is>
          <t>0.575769</t>
        </is>
      </c>
      <c r="I11" t="inlineStr">
        <is>
          <t>0.506661</t>
        </is>
      </c>
      <c r="J11">
        <f>IMAGE("https://raw.githubusercontent.com/yoyostudy/trm-cr-experiment-photos/cr_0429_derive_ignore_m3_194001_stage0/training_dynamics/exact_acc_at_halt_or_nsup16.png")</f>
        <v/>
      </c>
      <c r="K11">
        <f>IMAGE("https://raw.githubusercontent.com/yoyostudy/trm-cr-experiment-photos/cr_0429_derive_ignore_m3_194001_stage0/training_dynamics/exact_acc_at_halt_or_nsup32.png")</f>
        <v/>
      </c>
      <c r="L11">
        <f>IMAGE("https://raw.githubusercontent.com/yoyostudy/trm-cr-experiment-photos/cr_0429_derive_ignore_m3_194001_stage0/training_dynamics/exact_acc_at_halt_or_nsup64.png")</f>
        <v/>
      </c>
      <c r="M11">
        <f>IMAGE("https://raw.githubusercontent.com/yoyostudy/trm-cr-experiment-photos/cr_0429_derive_ignore_m3_194001_stage0/training_dynamics/train_exact_accuracy.png")</f>
        <v/>
      </c>
    </row>
    <row r="12" ht="100" customHeight="1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2026-04-28T23:19:21Z</dcterms:created>
  <dcterms:modified xsi:type="dcterms:W3CDTF">2026-05-05T22:28:59Z</dcterms:modified>
</cp:coreProperties>
</file>